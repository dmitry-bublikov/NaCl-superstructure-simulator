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mitry.bublikov\Desktop\Desktop\nacl\NaCl-superstructure-simulator\1_Stoichiometry_generator\"/>
    </mc:Choice>
  </mc:AlternateContent>
  <xr:revisionPtr revIDLastSave="0" documentId="13_ncr:1_{D84B0637-F6A9-4D0B-BAD7-7724A9E919D1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5" i="1"/>
  <c r="E6" i="1"/>
  <c r="E7" i="1"/>
  <c r="E8" i="1"/>
  <c r="D34" i="1"/>
  <c r="B34" i="1"/>
  <c r="E34" i="1" l="1"/>
</calcChain>
</file>

<file path=xl/sharedStrings.xml><?xml version="1.0" encoding="utf-8"?>
<sst xmlns="http://schemas.openxmlformats.org/spreadsheetml/2006/main" count="8" uniqueCount="7">
  <si>
    <t>Components (cations/anions)</t>
  </si>
  <si>
    <t>Stoichiometries (CF32)</t>
  </si>
  <si>
    <t>Stoichiometries (CF108)</t>
  </si>
  <si>
    <t>Time (CF108)</t>
  </si>
  <si>
    <t>Time (CF32)</t>
  </si>
  <si>
    <t>New in CF108 (CF108-CF32)</t>
  </si>
  <si>
    <t>no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</si>
</sst>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21" fontId="0" fillId="0" borderId="2" xfId="0" applyNumberFormat="1" applyBorder="1"/>
    <xf numFmtId="0" fontId="0" fillId="0" borderId="15" xfId="0" applyBorder="1"/>
    <xf numFmtId="21" fontId="0" fillId="0" borderId="16" xfId="0" applyNumberFormat="1" applyBorder="1"/>
    <xf numFmtId="21" fontId="0" fillId="0" borderId="17" xfId="0" applyNumberFormat="1" applyBorder="1"/>
    <xf numFmtId="21" fontId="0" fillId="0" borderId="4" xfId="0" applyNumberFormat="1" applyBorder="1"/>
    <xf numFmtId="21" fontId="0" fillId="0" borderId="8" xfId="0" applyNumberFormat="1" applyBorder="1"/>
    <xf numFmtId="21" fontId="0" fillId="0" borderId="6" xfId="0" applyNumberFormat="1" applyBorder="1"/>
    <xf numFmtId="21" fontId="0" fillId="0" borderId="18" xfId="0" applyNumberFormat="1" applyBorder="1"/>
    <xf numFmtId="0" fontId="1" fillId="0" borderId="1" xfId="0" applyFont="1" applyBorder="1" applyAlignment="1">
      <alignment horizontal="center" vertical="center" wrapText="1"/>
    </xf>
    <xf numFmtId="164" fontId="0" fillId="0" borderId="6" xfId="0" applyNumberFormat="1" applyBorder="1"/>
    <xf numFmtId="46" fontId="0" fillId="0" borderId="6" xfId="0" applyNumberFormat="1" applyBorder="1"/>
    <xf numFmtId="1" fontId="0" fillId="0" borderId="5" xfId="0" applyNumberFormat="1" applyBorder="1"/>
    <xf numFmtId="46" fontId="0" fillId="0" borderId="4" xfId="0" applyNumberFormat="1" applyBorder="1"/>
    <xf numFmtId="1" fontId="0" fillId="0" borderId="3" xfId="0" applyNumberForma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1" fontId="0" fillId="0" borderId="20" xfId="0" applyNumberFormat="1" applyBorder="1"/>
    <xf numFmtId="1" fontId="0" fillId="0" borderId="21" xfId="0" applyNumberFormat="1" applyBorder="1"/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1" fontId="0" fillId="0" borderId="1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E25" sqref="E25"/>
    </sheetView>
  </sheetViews>
  <sheetFormatPr defaultRowHeight="14.5" x14ac:dyDescent="0.35"/>
  <cols>
    <col min="1" max="1" width="14.7265625" customWidth="1"/>
    <col min="2" max="2" width="19.90625" customWidth="1"/>
    <col min="3" max="3" width="10.7265625" customWidth="1"/>
    <col min="4" max="4" width="20.90625" customWidth="1"/>
    <col min="5" max="5" width="23.453125" customWidth="1"/>
    <col min="6" max="6" width="11.7265625" customWidth="1"/>
  </cols>
  <sheetData>
    <row r="1" spans="1:6" ht="30" thickTop="1" thickBot="1" x14ac:dyDescent="0.4">
      <c r="A1" s="20" t="s">
        <v>0</v>
      </c>
      <c r="B1" s="31" t="s">
        <v>1</v>
      </c>
      <c r="C1" s="32" t="s">
        <v>4</v>
      </c>
      <c r="D1" s="31" t="s">
        <v>2</v>
      </c>
      <c r="E1" s="33" t="s">
        <v>5</v>
      </c>
      <c r="F1" s="32" t="s">
        <v>3</v>
      </c>
    </row>
    <row r="2" spans="1:6" ht="15" thickTop="1" x14ac:dyDescent="0.35">
      <c r="A2" s="9">
        <v>84</v>
      </c>
      <c r="B2" s="1">
        <v>8452591</v>
      </c>
      <c r="C2" s="16">
        <v>1.0416666666666667E-4</v>
      </c>
      <c r="D2" s="34" t="s">
        <v>6</v>
      </c>
      <c r="E2" s="26"/>
      <c r="F2" s="2"/>
    </row>
    <row r="3" spans="1:6" x14ac:dyDescent="0.35">
      <c r="A3" s="10">
        <v>74</v>
      </c>
      <c r="B3" s="13">
        <v>32861324</v>
      </c>
      <c r="C3" s="14">
        <v>2.8935185185185184E-4</v>
      </c>
      <c r="D3" s="35" t="s">
        <v>6</v>
      </c>
      <c r="E3" s="27"/>
      <c r="F3" s="4"/>
    </row>
    <row r="4" spans="1:6" x14ac:dyDescent="0.35">
      <c r="A4" s="10">
        <v>64</v>
      </c>
      <c r="B4" s="7">
        <v>41515514</v>
      </c>
      <c r="C4" s="18">
        <v>2.6620370370370372E-4</v>
      </c>
      <c r="D4" s="36">
        <v>393037764859</v>
      </c>
      <c r="E4" s="30">
        <f t="shared" ref="E4:E34" si="0">D4-B4</f>
        <v>392996249345</v>
      </c>
      <c r="F4" s="22">
        <v>16.774756944444444</v>
      </c>
    </row>
    <row r="5" spans="1:6" x14ac:dyDescent="0.35">
      <c r="A5" s="10">
        <v>54</v>
      </c>
      <c r="B5" s="7">
        <v>21814004</v>
      </c>
      <c r="C5" s="12">
        <v>1.1574074074074075E-4</v>
      </c>
      <c r="D5" s="3">
        <v>50144015603</v>
      </c>
      <c r="E5" s="27">
        <f t="shared" si="0"/>
        <v>50122201599</v>
      </c>
      <c r="F5" s="22">
        <v>2.2520717592592594</v>
      </c>
    </row>
    <row r="6" spans="1:6" x14ac:dyDescent="0.35">
      <c r="A6" s="10">
        <v>44</v>
      </c>
      <c r="B6" s="7">
        <v>5033065</v>
      </c>
      <c r="C6" s="12">
        <v>2.3148148148148147E-5</v>
      </c>
      <c r="D6" s="3">
        <v>2977748072</v>
      </c>
      <c r="E6" s="27">
        <f t="shared" si="0"/>
        <v>2972715007</v>
      </c>
      <c r="F6" s="18">
        <v>5.2708333333333336E-2</v>
      </c>
    </row>
    <row r="7" spans="1:6" x14ac:dyDescent="0.35">
      <c r="A7" s="10">
        <v>34</v>
      </c>
      <c r="B7" s="7">
        <v>490040</v>
      </c>
      <c r="C7" s="12">
        <v>1.1574074074074073E-5</v>
      </c>
      <c r="D7" s="3">
        <v>78318473</v>
      </c>
      <c r="E7" s="27">
        <f t="shared" si="0"/>
        <v>77828433</v>
      </c>
      <c r="F7" s="18">
        <v>9.837962962962962E-4</v>
      </c>
    </row>
    <row r="8" spans="1:6" x14ac:dyDescent="0.35">
      <c r="A8" s="10">
        <v>24</v>
      </c>
      <c r="B8" s="7">
        <v>17259</v>
      </c>
      <c r="C8" s="12">
        <v>1.1574074074074073E-5</v>
      </c>
      <c r="D8" s="3">
        <v>774724</v>
      </c>
      <c r="E8" s="27">
        <f t="shared" si="0"/>
        <v>757465</v>
      </c>
      <c r="F8" s="18">
        <v>1.1574074074074073E-5</v>
      </c>
    </row>
    <row r="9" spans="1:6" ht="15" thickBot="1" x14ac:dyDescent="0.4">
      <c r="A9" s="11">
        <v>14</v>
      </c>
      <c r="B9" s="8">
        <v>140</v>
      </c>
      <c r="C9" s="15">
        <v>1.1574074074074073E-5</v>
      </c>
      <c r="D9" s="5">
        <v>1838</v>
      </c>
      <c r="E9" s="28">
        <f t="shared" si="0"/>
        <v>1698</v>
      </c>
      <c r="F9" s="17">
        <v>1.1574074074074073E-5</v>
      </c>
    </row>
    <row r="10" spans="1:6" ht="15" thickTop="1" x14ac:dyDescent="0.35">
      <c r="A10" s="9">
        <v>83</v>
      </c>
      <c r="B10" s="6">
        <v>6052236</v>
      </c>
      <c r="C10" s="16">
        <v>2.3148148148148147E-5</v>
      </c>
      <c r="D10" s="25">
        <v>282899251119</v>
      </c>
      <c r="E10" s="29">
        <f t="shared" si="0"/>
        <v>282893198883</v>
      </c>
      <c r="F10" s="24">
        <v>9.4419907407407404</v>
      </c>
    </row>
    <row r="11" spans="1:6" x14ac:dyDescent="0.35">
      <c r="A11" s="10">
        <v>73</v>
      </c>
      <c r="B11" s="7">
        <v>19678072</v>
      </c>
      <c r="C11" s="12">
        <v>6.9444444444444444E-5</v>
      </c>
      <c r="D11" s="23">
        <v>204357361966</v>
      </c>
      <c r="E11" s="30">
        <f t="shared" si="0"/>
        <v>204337683894</v>
      </c>
      <c r="F11" s="22">
        <v>5.8302546296296294</v>
      </c>
    </row>
    <row r="12" spans="1:6" x14ac:dyDescent="0.35">
      <c r="A12" s="10">
        <v>63</v>
      </c>
      <c r="B12" s="7">
        <v>21215006</v>
      </c>
      <c r="C12" s="12">
        <v>5.7870370370370373E-5</v>
      </c>
      <c r="D12" s="3">
        <v>52474731197</v>
      </c>
      <c r="E12" s="27">
        <f t="shared" si="0"/>
        <v>52453516191</v>
      </c>
      <c r="F12" s="21">
        <v>1.0239467592592593</v>
      </c>
    </row>
    <row r="13" spans="1:6" x14ac:dyDescent="0.35">
      <c r="A13" s="10">
        <v>53</v>
      </c>
      <c r="B13" s="7">
        <v>9867387</v>
      </c>
      <c r="C13" s="12">
        <v>2.3148148148148147E-5</v>
      </c>
      <c r="D13" s="3">
        <v>6131171453</v>
      </c>
      <c r="E13" s="27">
        <f t="shared" si="0"/>
        <v>6121304066</v>
      </c>
      <c r="F13" s="18">
        <v>9.105324074074074E-2</v>
      </c>
    </row>
    <row r="14" spans="1:6" x14ac:dyDescent="0.35">
      <c r="A14" s="10">
        <v>43</v>
      </c>
      <c r="B14" s="7">
        <v>2114134</v>
      </c>
      <c r="C14" s="12">
        <v>1.1574074074074073E-5</v>
      </c>
      <c r="D14" s="3">
        <v>343875345</v>
      </c>
      <c r="E14" s="27">
        <f t="shared" si="0"/>
        <v>341761211</v>
      </c>
      <c r="F14" s="18">
        <v>3.5185185185185185E-3</v>
      </c>
    </row>
    <row r="15" spans="1:6" x14ac:dyDescent="0.35">
      <c r="A15" s="10">
        <v>33</v>
      </c>
      <c r="B15" s="7">
        <v>199131</v>
      </c>
      <c r="C15" s="12">
        <v>1.1574074074074073E-5</v>
      </c>
      <c r="D15" s="3">
        <v>8813524</v>
      </c>
      <c r="E15" s="27">
        <f t="shared" si="0"/>
        <v>8614393</v>
      </c>
      <c r="F15" s="18">
        <v>5.7870370370370373E-5</v>
      </c>
    </row>
    <row r="16" spans="1:6" x14ac:dyDescent="0.35">
      <c r="A16" s="10">
        <v>23</v>
      </c>
      <c r="B16" s="7">
        <v>6895</v>
      </c>
      <c r="C16" s="12">
        <v>1.1574074074074073E-5</v>
      </c>
      <c r="D16" s="3">
        <v>86672</v>
      </c>
      <c r="E16" s="27">
        <f t="shared" si="0"/>
        <v>79777</v>
      </c>
      <c r="F16" s="18">
        <v>1.1574074074074073E-5</v>
      </c>
    </row>
    <row r="17" spans="1:6" ht="15" thickBot="1" x14ac:dyDescent="0.4">
      <c r="A17" s="11">
        <v>13</v>
      </c>
      <c r="B17" s="8">
        <v>60</v>
      </c>
      <c r="C17" s="15">
        <v>1.1574074074074073E-5</v>
      </c>
      <c r="D17" s="5">
        <v>210</v>
      </c>
      <c r="E17" s="28">
        <f t="shared" si="0"/>
        <v>150</v>
      </c>
      <c r="F17" s="17">
        <v>1.1574074074074073E-5</v>
      </c>
    </row>
    <row r="18" spans="1:6" ht="15" thickTop="1" x14ac:dyDescent="0.35">
      <c r="A18" s="9">
        <v>82</v>
      </c>
      <c r="B18" s="6">
        <v>1057765</v>
      </c>
      <c r="C18" s="16">
        <v>1.1574074074074073E-5</v>
      </c>
      <c r="D18" s="1">
        <v>12130419777</v>
      </c>
      <c r="E18" s="26">
        <f t="shared" si="0"/>
        <v>12129362012</v>
      </c>
      <c r="F18" s="19">
        <v>0.16921296296296295</v>
      </c>
    </row>
    <row r="19" spans="1:6" x14ac:dyDescent="0.35">
      <c r="A19" s="10">
        <v>72</v>
      </c>
      <c r="B19" s="7">
        <v>2862189</v>
      </c>
      <c r="C19" s="12">
        <v>1.1574074074074073E-5</v>
      </c>
      <c r="D19" s="3">
        <v>7714037788</v>
      </c>
      <c r="E19" s="27">
        <f t="shared" si="0"/>
        <v>7711175599</v>
      </c>
      <c r="F19" s="18">
        <v>8.2650462962962967E-2</v>
      </c>
    </row>
    <row r="20" spans="1:6" x14ac:dyDescent="0.35">
      <c r="A20" s="10">
        <v>62</v>
      </c>
      <c r="B20" s="7">
        <v>2658632</v>
      </c>
      <c r="C20" s="12">
        <v>1.1574074074074073E-5</v>
      </c>
      <c r="D20" s="3">
        <v>1774866684</v>
      </c>
      <c r="E20" s="27">
        <f t="shared" si="0"/>
        <v>1772208052</v>
      </c>
      <c r="F20" s="18">
        <v>2.0775462962962964E-2</v>
      </c>
    </row>
    <row r="21" spans="1:6" x14ac:dyDescent="0.35">
      <c r="A21" s="10">
        <v>52</v>
      </c>
      <c r="B21" s="7">
        <v>1103229</v>
      </c>
      <c r="C21" s="12">
        <v>1.1574074074074073E-5</v>
      </c>
      <c r="D21" s="3">
        <v>189684654</v>
      </c>
      <c r="E21" s="27">
        <f t="shared" si="0"/>
        <v>188581425</v>
      </c>
      <c r="F21" s="18">
        <v>9.4907407407407408E-4</v>
      </c>
    </row>
    <row r="22" spans="1:6" x14ac:dyDescent="0.35">
      <c r="A22" s="10">
        <v>42</v>
      </c>
      <c r="B22" s="7">
        <v>217147</v>
      </c>
      <c r="C22" s="12">
        <v>1.1574074074074073E-5</v>
      </c>
      <c r="D22" s="3">
        <v>9976297</v>
      </c>
      <c r="E22" s="27">
        <f t="shared" si="0"/>
        <v>9759150</v>
      </c>
      <c r="F22" s="18">
        <v>4.6296296296296294E-5</v>
      </c>
    </row>
    <row r="23" spans="1:6" x14ac:dyDescent="0.35">
      <c r="A23" s="10">
        <v>32</v>
      </c>
      <c r="B23" s="7">
        <v>20183</v>
      </c>
      <c r="C23" s="12">
        <v>1.1574074074074073E-5</v>
      </c>
      <c r="D23" s="3">
        <v>256161</v>
      </c>
      <c r="E23" s="27">
        <f t="shared" si="0"/>
        <v>235978</v>
      </c>
      <c r="F23" s="18">
        <v>1.1574074074074073E-5</v>
      </c>
    </row>
    <row r="24" spans="1:6" x14ac:dyDescent="0.35">
      <c r="A24" s="10">
        <v>22</v>
      </c>
      <c r="B24" s="7">
        <v>812</v>
      </c>
      <c r="C24" s="12">
        <v>1.1574074074074073E-5</v>
      </c>
      <c r="D24" s="3">
        <v>2984</v>
      </c>
      <c r="E24" s="27">
        <f t="shared" si="0"/>
        <v>2172</v>
      </c>
      <c r="F24" s="18">
        <v>1.1574074074074073E-5</v>
      </c>
    </row>
    <row r="25" spans="1:6" ht="15" thickBot="1" x14ac:dyDescent="0.4">
      <c r="A25" s="11">
        <v>12</v>
      </c>
      <c r="B25" s="8">
        <v>2</v>
      </c>
      <c r="C25" s="15">
        <v>1.1574074074074073E-5</v>
      </c>
      <c r="D25" s="5">
        <v>4</v>
      </c>
      <c r="E25" s="28">
        <f t="shared" si="0"/>
        <v>2</v>
      </c>
      <c r="F25" s="17">
        <v>1.1574074074074073E-5</v>
      </c>
    </row>
    <row r="26" spans="1:6" ht="15" thickTop="1" x14ac:dyDescent="0.35">
      <c r="A26" s="9">
        <v>81</v>
      </c>
      <c r="B26" s="6">
        <v>41094</v>
      </c>
      <c r="C26" s="16">
        <v>1.1574074074074073E-5</v>
      </c>
      <c r="D26" s="1">
        <v>120722198</v>
      </c>
      <c r="E26" s="26">
        <f t="shared" si="0"/>
        <v>120681104</v>
      </c>
      <c r="F26" s="19">
        <v>1.1030092592592593E-2</v>
      </c>
    </row>
    <row r="27" spans="1:6" x14ac:dyDescent="0.35">
      <c r="A27" s="10">
        <v>71</v>
      </c>
      <c r="B27" s="7">
        <v>91980</v>
      </c>
      <c r="C27" s="12">
        <v>1.1574074074074073E-5</v>
      </c>
      <c r="D27" s="3">
        <v>66934199</v>
      </c>
      <c r="E27" s="27">
        <f t="shared" si="0"/>
        <v>66842219</v>
      </c>
      <c r="F27" s="18">
        <v>7.3263888888888892E-3</v>
      </c>
    </row>
    <row r="28" spans="1:6" x14ac:dyDescent="0.35">
      <c r="A28" s="10">
        <v>61</v>
      </c>
      <c r="B28" s="7">
        <v>74494</v>
      </c>
      <c r="C28" s="12">
        <v>1.1574074074074073E-5</v>
      </c>
      <c r="D28" s="3">
        <v>13783166</v>
      </c>
      <c r="E28" s="27">
        <f t="shared" si="0"/>
        <v>13708672</v>
      </c>
      <c r="F28" s="18">
        <v>7.0601851851851847E-4</v>
      </c>
    </row>
    <row r="29" spans="1:6" x14ac:dyDescent="0.35">
      <c r="A29" s="10">
        <v>51</v>
      </c>
      <c r="B29" s="7">
        <v>27356</v>
      </c>
      <c r="C29" s="12">
        <v>1.1574074074074073E-5</v>
      </c>
      <c r="D29" s="3">
        <v>1334880</v>
      </c>
      <c r="E29" s="27">
        <f t="shared" si="0"/>
        <v>1307524</v>
      </c>
      <c r="F29" s="18">
        <v>6.9444444444444444E-5</v>
      </c>
    </row>
    <row r="30" spans="1:6" x14ac:dyDescent="0.35">
      <c r="A30" s="10">
        <v>41</v>
      </c>
      <c r="B30" s="7">
        <v>4937</v>
      </c>
      <c r="C30" s="12">
        <v>1.1574074074074073E-5</v>
      </c>
      <c r="D30" s="3">
        <v>65507</v>
      </c>
      <c r="E30" s="27">
        <f t="shared" si="0"/>
        <v>60570</v>
      </c>
      <c r="F30" s="18">
        <v>1.1574074074074073E-5</v>
      </c>
    </row>
    <row r="31" spans="1:6" x14ac:dyDescent="0.35">
      <c r="A31" s="10">
        <v>31</v>
      </c>
      <c r="B31" s="7">
        <v>468</v>
      </c>
      <c r="C31" s="12">
        <v>1.1574074074074073E-5</v>
      </c>
      <c r="D31" s="3">
        <v>1765</v>
      </c>
      <c r="E31" s="27">
        <f t="shared" si="0"/>
        <v>1297</v>
      </c>
      <c r="F31" s="18">
        <v>1.1574074074074073E-5</v>
      </c>
    </row>
    <row r="32" spans="1:6" x14ac:dyDescent="0.35">
      <c r="A32" s="10">
        <v>21</v>
      </c>
      <c r="B32" s="7">
        <v>10</v>
      </c>
      <c r="C32" s="12">
        <v>1.1574074074074073E-5</v>
      </c>
      <c r="D32" s="3">
        <v>19</v>
      </c>
      <c r="E32" s="27">
        <f t="shared" si="0"/>
        <v>9</v>
      </c>
      <c r="F32" s="18">
        <v>1.1574074074074073E-5</v>
      </c>
    </row>
    <row r="33" spans="1:6" ht="15" thickBot="1" x14ac:dyDescent="0.4">
      <c r="A33" s="11">
        <v>11</v>
      </c>
      <c r="B33" s="8">
        <v>4</v>
      </c>
      <c r="C33" s="17">
        <v>1.1574074074074073E-5</v>
      </c>
      <c r="D33" s="5">
        <v>4</v>
      </c>
      <c r="E33" s="28">
        <f t="shared" si="0"/>
        <v>0</v>
      </c>
      <c r="F33" s="17">
        <v>1.1574074074074073E-5</v>
      </c>
    </row>
    <row r="34" spans="1:6" ht="15" thickTop="1" x14ac:dyDescent="0.35">
      <c r="B34" s="26">
        <f>SUM(B2:B33)</f>
        <v>177477160</v>
      </c>
      <c r="D34" s="29">
        <f>SUM(D2:D33)</f>
        <v>1014476001142</v>
      </c>
      <c r="E34" s="29">
        <f t="shared" si="0"/>
        <v>1014298523982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Bublikov Dmitry</dc:creator>
  <cp:lastModifiedBy>Bublikov Dmitry</cp:lastModifiedBy>
  <dcterms:created xsi:type="dcterms:W3CDTF">2015-06-05T18:17:20Z</dcterms:created>
  <dcterms:modified xsi:type="dcterms:W3CDTF">2026-09-17T15:21:57Z</dcterms:modified>
</cp:coreProperties>
</file>